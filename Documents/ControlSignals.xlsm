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dan\Documents\GitHub\MIPS-Single-Cycle-Processor\Documents\"/>
    </mc:Choice>
  </mc:AlternateContent>
  <xr:revisionPtr revIDLastSave="0" documentId="8_{4777C207-0186-4E91-AEBD-EFA812B96195}" xr6:coauthVersionLast="47" xr6:coauthVersionMax="47" xr10:uidLastSave="{00000000-0000-0000-0000-000000000000}"/>
  <bookViews>
    <workbookView xWindow="780" yWindow="780" windowWidth="21600" windowHeight="11385" tabRatio="999" xr2:uid="{00D6E995-B1C9-9941-8016-EE5CE3EB0628}"/>
  </bookViews>
  <sheets>
    <sheet name="OpCodes" sheetId="1" r:id="rId1"/>
  </sheets>
  <functionGroups builtInGroupCount="19"/>
  <definedNames>
    <definedName name="_xlnm._FilterDatabase" localSheetId="0" hidden="1">OpCodes!$A$1:$M$30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" l="1"/>
  <c r="G18" i="1"/>
  <c r="F18" i="1"/>
  <c r="E18" i="1"/>
  <c r="E31" i="1"/>
  <c r="F31" i="1"/>
  <c r="G31" i="1"/>
  <c r="H31" i="1"/>
  <c r="H4" i="1" l="1"/>
  <c r="G5" i="1"/>
  <c r="F6" i="1"/>
  <c r="E7" i="1"/>
  <c r="E8" i="1"/>
  <c r="E9" i="1"/>
  <c r="E10" i="1"/>
  <c r="E11" i="1"/>
  <c r="E12" i="1"/>
  <c r="E13" i="1"/>
  <c r="E14" i="1"/>
  <c r="E15" i="1"/>
  <c r="H16" i="1"/>
  <c r="H17" i="1"/>
  <c r="G19" i="1"/>
  <c r="F20" i="1"/>
  <c r="E21" i="1"/>
  <c r="E22" i="1"/>
  <c r="E23" i="1"/>
  <c r="E24" i="1"/>
  <c r="E25" i="1"/>
  <c r="E26" i="1"/>
  <c r="F28" i="1"/>
  <c r="F29" i="1"/>
  <c r="H30" i="1"/>
  <c r="F3" i="1"/>
  <c r="E27" i="1" l="1"/>
  <c r="F27" i="1"/>
  <c r="G27" i="1"/>
  <c r="H27" i="1"/>
  <c r="E20" i="1"/>
  <c r="E6" i="1"/>
  <c r="F19" i="1"/>
  <c r="F5" i="1"/>
  <c r="G17" i="1"/>
  <c r="G4" i="1"/>
  <c r="H15" i="1"/>
  <c r="E19" i="1"/>
  <c r="E5" i="1"/>
  <c r="F17" i="1"/>
  <c r="F4" i="1"/>
  <c r="G15" i="1"/>
  <c r="H29" i="1"/>
  <c r="H14" i="1"/>
  <c r="E17" i="1"/>
  <c r="E4" i="1"/>
  <c r="F15" i="1"/>
  <c r="G29" i="1"/>
  <c r="G14" i="1"/>
  <c r="H28" i="1"/>
  <c r="H13" i="1"/>
  <c r="E29" i="1"/>
  <c r="F14" i="1"/>
  <c r="G28" i="1"/>
  <c r="G13" i="1"/>
  <c r="H26" i="1"/>
  <c r="H12" i="1"/>
  <c r="E28" i="1"/>
  <c r="F13" i="1"/>
  <c r="G26" i="1"/>
  <c r="G12" i="1"/>
  <c r="H25" i="1"/>
  <c r="H11" i="1"/>
  <c r="F26" i="1"/>
  <c r="F12" i="1"/>
  <c r="G25" i="1"/>
  <c r="G11" i="1"/>
  <c r="H24" i="1"/>
  <c r="H10" i="1"/>
  <c r="F25" i="1"/>
  <c r="F11" i="1"/>
  <c r="G24" i="1"/>
  <c r="G10" i="1"/>
  <c r="H23" i="1"/>
  <c r="H9" i="1"/>
  <c r="F24" i="1"/>
  <c r="F10" i="1"/>
  <c r="G23" i="1"/>
  <c r="G9" i="1"/>
  <c r="H22" i="1"/>
  <c r="H8" i="1"/>
  <c r="F23" i="1"/>
  <c r="F9" i="1"/>
  <c r="G22" i="1"/>
  <c r="G8" i="1"/>
  <c r="H21" i="1"/>
  <c r="H7" i="1"/>
  <c r="F22" i="1"/>
  <c r="F8" i="1"/>
  <c r="G21" i="1"/>
  <c r="G7" i="1"/>
  <c r="H20" i="1"/>
  <c r="H6" i="1"/>
  <c r="F21" i="1"/>
  <c r="F7" i="1"/>
  <c r="G20" i="1"/>
  <c r="G6" i="1"/>
  <c r="H19" i="1"/>
  <c r="H5" i="1"/>
  <c r="G3" i="1"/>
  <c r="E16" i="1"/>
  <c r="H3" i="1"/>
  <c r="E30" i="1"/>
  <c r="F30" i="1"/>
  <c r="F16" i="1"/>
  <c r="G30" i="1"/>
  <c r="G16" i="1"/>
  <c r="E3" i="1"/>
</calcChain>
</file>

<file path=xl/sharedStrings.xml><?xml version="1.0" encoding="utf-8"?>
<sst xmlns="http://schemas.openxmlformats.org/spreadsheetml/2006/main" count="163" uniqueCount="85">
  <si>
    <t>Instruction</t>
  </si>
  <si>
    <t>Opcode (Binary)</t>
  </si>
  <si>
    <t>Funct (Binary)</t>
  </si>
  <si>
    <t>ALUSrc</t>
  </si>
  <si>
    <t>MemtoReg</t>
  </si>
  <si>
    <t>RegDst</t>
  </si>
  <si>
    <t>addi</t>
  </si>
  <si>
    <t>ALUControl</t>
  </si>
  <si>
    <t>add</t>
  </si>
  <si>
    <t xml:space="preserve"> addiu</t>
  </si>
  <si>
    <t xml:space="preserve"> addu</t>
  </si>
  <si>
    <t xml:space="preserve"> and</t>
  </si>
  <si>
    <t xml:space="preserve"> andi</t>
  </si>
  <si>
    <t xml:space="preserve"> lui</t>
  </si>
  <si>
    <t xml:space="preserve"> lw</t>
  </si>
  <si>
    <t xml:space="preserve"> nor</t>
  </si>
  <si>
    <t xml:space="preserve"> xor</t>
  </si>
  <si>
    <t xml:space="preserve"> xori</t>
  </si>
  <si>
    <t xml:space="preserve"> or</t>
  </si>
  <si>
    <t>ori</t>
  </si>
  <si>
    <t xml:space="preserve"> slt</t>
  </si>
  <si>
    <t xml:space="preserve"> slti</t>
  </si>
  <si>
    <t xml:space="preserve"> sll</t>
  </si>
  <si>
    <t xml:space="preserve"> srl</t>
  </si>
  <si>
    <t xml:space="preserve"> sra</t>
  </si>
  <si>
    <t xml:space="preserve"> sw</t>
  </si>
  <si>
    <t xml:space="preserve"> sub</t>
  </si>
  <si>
    <t xml:space="preserve"> subu</t>
  </si>
  <si>
    <t xml:space="preserve"> beq</t>
  </si>
  <si>
    <t xml:space="preserve"> bne</t>
  </si>
  <si>
    <t xml:space="preserve"> j</t>
  </si>
  <si>
    <t xml:space="preserve"> jal</t>
  </si>
  <si>
    <t xml:space="preserve"> jr</t>
  </si>
  <si>
    <t xml:space="preserve"> repl.qb</t>
  </si>
  <si>
    <t>s_DMemWr</t>
  </si>
  <si>
    <t>s_RegWr</t>
  </si>
  <si>
    <t>X</t>
  </si>
  <si>
    <t>sub</t>
  </si>
  <si>
    <t>and</t>
  </si>
  <si>
    <t>or</t>
  </si>
  <si>
    <t>xor</t>
  </si>
  <si>
    <t>nor</t>
  </si>
  <si>
    <t>slt</t>
  </si>
  <si>
    <t>sll</t>
  </si>
  <si>
    <t>srl</t>
  </si>
  <si>
    <t>sra</t>
  </si>
  <si>
    <t>------</t>
  </si>
  <si>
    <t>000000</t>
  </si>
  <si>
    <t>001000</t>
  </si>
  <si>
    <t>001001</t>
  </si>
  <si>
    <t>001100</t>
  </si>
  <si>
    <t>001111</t>
  </si>
  <si>
    <t>100011</t>
  </si>
  <si>
    <t>001110</t>
  </si>
  <si>
    <t>001101</t>
  </si>
  <si>
    <t>001010</t>
  </si>
  <si>
    <t>101011</t>
  </si>
  <si>
    <t>000100</t>
  </si>
  <si>
    <t>000101</t>
  </si>
  <si>
    <t>000010</t>
  </si>
  <si>
    <t>000011</t>
  </si>
  <si>
    <t>100000</t>
  </si>
  <si>
    <t>100001</t>
  </si>
  <si>
    <t>100100</t>
  </si>
  <si>
    <t>100111</t>
  </si>
  <si>
    <t>100110</t>
  </si>
  <si>
    <t>100101</t>
  </si>
  <si>
    <t>101010</t>
  </si>
  <si>
    <t>100010</t>
  </si>
  <si>
    <t>ALUControl(3)</t>
  </si>
  <si>
    <t>ALUControl(2)</t>
  </si>
  <si>
    <t>ALUControl(1)</t>
  </si>
  <si>
    <t>ALUControl(0)</t>
  </si>
  <si>
    <t>111111</t>
  </si>
  <si>
    <t>bne</t>
  </si>
  <si>
    <t>halt</t>
  </si>
  <si>
    <t>jmp</t>
  </si>
  <si>
    <t>branch</t>
  </si>
  <si>
    <t>jmpIns</t>
  </si>
  <si>
    <t>ext_type</t>
  </si>
  <si>
    <t>link</t>
  </si>
  <si>
    <t>lui</t>
  </si>
  <si>
    <t>repl.qb</t>
  </si>
  <si>
    <t xml:space="preserve"> sltiu</t>
  </si>
  <si>
    <t>010100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</si>
</sst>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CD1-6A91-3E43-87BE-182EA48A4800}">
  <sheetPr codeName="Sheet1"/>
  <dimension ref="A1:T31"/>
  <sheetViews>
    <sheetView tabSelected="1" workbookViewId="0">
      <pane xSplit="3" ySplit="2" topLeftCell="D6" activePane="bottomRight" state="frozen"/>
      <selection pane="topRight" activeCell="D1" sqref="D1"/>
      <selection pane="bottomLeft" activeCell="A3" sqref="A3"/>
      <selection pane="bottomRight" activeCell="V30" sqref="V30"/>
    </sheetView>
  </sheetViews>
  <sheetFormatPr defaultColWidth="10.875" defaultRowHeight="15.75" x14ac:dyDescent="0.25"/>
  <cols>
    <col min="1" max="1" width="16.875" style="1" customWidth="1"/>
    <col min="2" max="2" width="13.875" style="1" customWidth="1"/>
    <col min="3" max="3" width="12" style="1" customWidth="1"/>
    <col min="4" max="4" width="49.875" style="5" bestFit="1" customWidth="1"/>
    <col min="5" max="5" width="19.875" style="7" hidden="1" customWidth="1"/>
    <col min="6" max="6" width="16.375" style="7" hidden="1" customWidth="1"/>
    <col min="7" max="7" width="17.5" style="7" hidden="1" customWidth="1"/>
    <col min="8" max="8" width="21.75" style="7" hidden="1" customWidth="1"/>
    <col min="9" max="9" width="39.375" style="5" bestFit="1" customWidth="1"/>
    <col min="10" max="10" width="32.5" style="6" bestFit="1" customWidth="1"/>
    <col min="11" max="11" width="30.875" style="6" bestFit="1" customWidth="1"/>
    <col min="12" max="12" width="27" style="6" bestFit="1" customWidth="1"/>
    <col min="13" max="13" width="45.5" style="6" bestFit="1" customWidth="1"/>
    <col min="14" max="16384" width="10.875" style="1"/>
  </cols>
  <sheetData>
    <row r="1" spans="1:20" x14ac:dyDescent="0.25">
      <c r="A1" s="19" t="s">
        <v>0</v>
      </c>
      <c r="B1" s="19" t="s">
        <v>1</v>
      </c>
      <c r="C1" s="19" t="s">
        <v>2</v>
      </c>
      <c r="D1" s="17" t="s">
        <v>3</v>
      </c>
      <c r="E1" s="17" t="s">
        <v>69</v>
      </c>
      <c r="F1" s="17" t="s">
        <v>70</v>
      </c>
      <c r="G1" s="17" t="s">
        <v>71</v>
      </c>
      <c r="H1" s="17" t="s">
        <v>72</v>
      </c>
      <c r="I1" s="17" t="s">
        <v>7</v>
      </c>
      <c r="J1" s="18" t="s">
        <v>4</v>
      </c>
      <c r="K1" s="18" t="s">
        <v>34</v>
      </c>
      <c r="L1" s="18" t="s">
        <v>35</v>
      </c>
      <c r="M1" s="18" t="s">
        <v>5</v>
      </c>
      <c r="N1" s="16" t="s">
        <v>76</v>
      </c>
      <c r="O1" s="16" t="s">
        <v>77</v>
      </c>
      <c r="P1" s="16" t="s">
        <v>78</v>
      </c>
      <c r="Q1" s="16" t="s">
        <v>79</v>
      </c>
      <c r="R1" s="16" t="s">
        <v>80</v>
      </c>
      <c r="S1" s="16" t="s">
        <v>74</v>
      </c>
      <c r="T1" s="16" t="s">
        <v>75</v>
      </c>
    </row>
    <row r="2" spans="1:20" x14ac:dyDescent="0.25">
      <c r="A2" s="19"/>
      <c r="B2" s="19"/>
      <c r="C2" s="19"/>
      <c r="D2" s="17"/>
      <c r="E2" s="17"/>
      <c r="F2" s="17"/>
      <c r="G2" s="17"/>
      <c r="H2" s="17"/>
      <c r="I2" s="17"/>
      <c r="J2" s="18"/>
      <c r="K2" s="18"/>
      <c r="L2" s="18"/>
      <c r="M2" s="18"/>
      <c r="N2" s="16"/>
      <c r="O2" s="16"/>
      <c r="P2" s="16"/>
      <c r="Q2" s="16"/>
      <c r="R2" s="16"/>
      <c r="S2" s="16"/>
      <c r="T2" s="16"/>
    </row>
    <row r="3" spans="1:20" x14ac:dyDescent="0.25">
      <c r="A3" s="2" t="s">
        <v>8</v>
      </c>
      <c r="B3" s="5" t="s">
        <v>47</v>
      </c>
      <c r="C3" s="5" t="s">
        <v>61</v>
      </c>
      <c r="D3" s="6">
        <v>0</v>
      </c>
      <c r="E3" s="4" t="str">
        <f>MID($I3,1,1)</f>
        <v>a</v>
      </c>
      <c r="F3" s="4" t="str">
        <f t="shared" ref="F3:F31" si="0">MID($I3,2,1)</f>
        <v>d</v>
      </c>
      <c r="G3" s="4" t="str">
        <f t="shared" ref="G3:G31" si="1">MID($I3,3,1)</f>
        <v>d</v>
      </c>
      <c r="H3" s="4" t="str">
        <f t="shared" ref="H3:H31" si="2">MID($I3,4,1)</f>
        <v/>
      </c>
      <c r="I3" s="6" t="s">
        <v>8</v>
      </c>
      <c r="J3" s="6">
        <v>0</v>
      </c>
      <c r="K3" s="6">
        <v>0</v>
      </c>
      <c r="L3" s="6">
        <v>1</v>
      </c>
      <c r="M3" s="6">
        <v>0</v>
      </c>
      <c r="N3" s="9">
        <v>0</v>
      </c>
      <c r="O3" s="10">
        <v>0</v>
      </c>
      <c r="P3" s="10">
        <v>0</v>
      </c>
      <c r="Q3" s="1">
        <v>0</v>
      </c>
      <c r="R3" s="1">
        <v>0</v>
      </c>
      <c r="S3" s="12">
        <v>0</v>
      </c>
      <c r="T3" s="12">
        <v>0</v>
      </c>
    </row>
    <row r="4" spans="1:20" s="3" customFormat="1" x14ac:dyDescent="0.25">
      <c r="A4" s="3" t="s">
        <v>6</v>
      </c>
      <c r="B4" s="8" t="s">
        <v>48</v>
      </c>
      <c r="C4" s="5" t="s">
        <v>46</v>
      </c>
      <c r="D4" s="6">
        <v>1</v>
      </c>
      <c r="E4" s="4" t="str">
        <f t="shared" ref="E4:E31" si="3">MID($I4,1,1)</f>
        <v>a</v>
      </c>
      <c r="F4" s="4" t="str">
        <f t="shared" si="0"/>
        <v>d</v>
      </c>
      <c r="G4" s="4" t="str">
        <f t="shared" si="1"/>
        <v>d</v>
      </c>
      <c r="H4" s="4" t="str">
        <f t="shared" si="2"/>
        <v/>
      </c>
      <c r="I4" s="6" t="s">
        <v>8</v>
      </c>
      <c r="J4" s="6">
        <v>0</v>
      </c>
      <c r="K4" s="6">
        <v>0</v>
      </c>
      <c r="L4" s="6">
        <v>1</v>
      </c>
      <c r="M4" s="6">
        <v>1</v>
      </c>
      <c r="N4" s="10">
        <v>0</v>
      </c>
      <c r="O4" s="10">
        <v>0</v>
      </c>
      <c r="P4" s="10">
        <v>0</v>
      </c>
      <c r="Q4" s="3">
        <v>1</v>
      </c>
      <c r="R4" s="12">
        <v>0</v>
      </c>
      <c r="S4" s="12">
        <v>0</v>
      </c>
      <c r="T4" s="12">
        <v>0</v>
      </c>
    </row>
    <row r="5" spans="1:20" x14ac:dyDescent="0.25">
      <c r="A5" s="3" t="s">
        <v>9</v>
      </c>
      <c r="B5" s="8" t="s">
        <v>49</v>
      </c>
      <c r="C5" s="5" t="s">
        <v>46</v>
      </c>
      <c r="D5" s="6">
        <v>1</v>
      </c>
      <c r="E5" s="4" t="str">
        <f t="shared" si="3"/>
        <v>a</v>
      </c>
      <c r="F5" s="4" t="str">
        <f t="shared" si="0"/>
        <v>d</v>
      </c>
      <c r="G5" s="4" t="str">
        <f t="shared" si="1"/>
        <v>d</v>
      </c>
      <c r="H5" s="4" t="str">
        <f t="shared" si="2"/>
        <v/>
      </c>
      <c r="I5" s="6" t="s">
        <v>8</v>
      </c>
      <c r="J5" s="6">
        <v>0</v>
      </c>
      <c r="K5" s="6">
        <v>0</v>
      </c>
      <c r="L5" s="6">
        <v>1</v>
      </c>
      <c r="M5" s="6">
        <v>1</v>
      </c>
      <c r="N5" s="10">
        <v>0</v>
      </c>
      <c r="O5" s="10">
        <v>0</v>
      </c>
      <c r="P5" s="10">
        <v>0</v>
      </c>
      <c r="Q5" s="1">
        <v>1</v>
      </c>
      <c r="R5" s="12">
        <v>0</v>
      </c>
      <c r="S5" s="12">
        <v>0</v>
      </c>
      <c r="T5" s="12">
        <v>0</v>
      </c>
    </row>
    <row r="6" spans="1:20" x14ac:dyDescent="0.25">
      <c r="A6" s="3" t="s">
        <v>10</v>
      </c>
      <c r="B6" s="8" t="s">
        <v>47</v>
      </c>
      <c r="C6" s="5" t="s">
        <v>62</v>
      </c>
      <c r="D6" s="6">
        <v>0</v>
      </c>
      <c r="E6" s="4" t="str">
        <f t="shared" si="3"/>
        <v>a</v>
      </c>
      <c r="F6" s="4" t="str">
        <f t="shared" si="0"/>
        <v>d</v>
      </c>
      <c r="G6" s="4" t="str">
        <f t="shared" si="1"/>
        <v>d</v>
      </c>
      <c r="H6" s="4" t="str">
        <f t="shared" si="2"/>
        <v/>
      </c>
      <c r="I6" s="6" t="s">
        <v>8</v>
      </c>
      <c r="J6" s="6">
        <v>0</v>
      </c>
      <c r="K6" s="6">
        <v>0</v>
      </c>
      <c r="L6" s="6">
        <v>1</v>
      </c>
      <c r="M6" s="6">
        <v>0</v>
      </c>
      <c r="N6" s="10">
        <v>0</v>
      </c>
      <c r="O6" s="10">
        <v>0</v>
      </c>
      <c r="P6" s="10">
        <v>0</v>
      </c>
      <c r="Q6" s="12">
        <v>0</v>
      </c>
      <c r="R6" s="12">
        <v>0</v>
      </c>
      <c r="S6" s="12">
        <v>0</v>
      </c>
      <c r="T6" s="12">
        <v>0</v>
      </c>
    </row>
    <row r="7" spans="1:20" x14ac:dyDescent="0.25">
      <c r="A7" s="3" t="s">
        <v>11</v>
      </c>
      <c r="B7" s="8" t="s">
        <v>47</v>
      </c>
      <c r="C7" s="5" t="s">
        <v>63</v>
      </c>
      <c r="D7" s="6">
        <v>0</v>
      </c>
      <c r="E7" s="4" t="str">
        <f t="shared" si="3"/>
        <v>a</v>
      </c>
      <c r="F7" s="4" t="str">
        <f t="shared" si="0"/>
        <v>n</v>
      </c>
      <c r="G7" s="4" t="str">
        <f t="shared" si="1"/>
        <v>d</v>
      </c>
      <c r="H7" s="4" t="str">
        <f t="shared" si="2"/>
        <v/>
      </c>
      <c r="I7" s="6" t="s">
        <v>38</v>
      </c>
      <c r="J7" s="6">
        <v>0</v>
      </c>
      <c r="K7" s="6">
        <v>0</v>
      </c>
      <c r="L7" s="6">
        <v>1</v>
      </c>
      <c r="M7" s="6">
        <v>0</v>
      </c>
      <c r="N7" s="10">
        <v>0</v>
      </c>
      <c r="O7" s="10">
        <v>0</v>
      </c>
      <c r="P7" s="10">
        <v>0</v>
      </c>
      <c r="Q7" s="12">
        <v>0</v>
      </c>
      <c r="R7" s="12">
        <v>0</v>
      </c>
      <c r="S7" s="12">
        <v>0</v>
      </c>
      <c r="T7" s="12">
        <v>0</v>
      </c>
    </row>
    <row r="8" spans="1:20" x14ac:dyDescent="0.25">
      <c r="A8" s="3" t="s">
        <v>12</v>
      </c>
      <c r="B8" s="5" t="s">
        <v>50</v>
      </c>
      <c r="C8" s="5" t="s">
        <v>46</v>
      </c>
      <c r="D8" s="6">
        <v>1</v>
      </c>
      <c r="E8" s="4" t="str">
        <f t="shared" si="3"/>
        <v>a</v>
      </c>
      <c r="F8" s="4" t="str">
        <f t="shared" si="0"/>
        <v>n</v>
      </c>
      <c r="G8" s="4" t="str">
        <f t="shared" si="1"/>
        <v>d</v>
      </c>
      <c r="H8" s="4" t="str">
        <f t="shared" si="2"/>
        <v/>
      </c>
      <c r="I8" s="6" t="s">
        <v>38</v>
      </c>
      <c r="J8" s="6">
        <v>0</v>
      </c>
      <c r="K8" s="6">
        <v>0</v>
      </c>
      <c r="L8" s="6">
        <v>1</v>
      </c>
      <c r="M8" s="6">
        <v>1</v>
      </c>
      <c r="N8" s="10">
        <v>0</v>
      </c>
      <c r="O8" s="10">
        <v>0</v>
      </c>
      <c r="P8" s="10">
        <v>0</v>
      </c>
      <c r="Q8" s="12">
        <v>0</v>
      </c>
      <c r="R8" s="12">
        <v>0</v>
      </c>
      <c r="S8" s="12">
        <v>0</v>
      </c>
      <c r="T8" s="12">
        <v>0</v>
      </c>
    </row>
    <row r="9" spans="1:20" x14ac:dyDescent="0.25">
      <c r="A9" s="3" t="s">
        <v>13</v>
      </c>
      <c r="B9" s="5" t="s">
        <v>51</v>
      </c>
      <c r="C9" s="5" t="s">
        <v>46</v>
      </c>
      <c r="D9" s="6">
        <v>1</v>
      </c>
      <c r="E9" s="4" t="str">
        <f t="shared" si="3"/>
        <v>l</v>
      </c>
      <c r="F9" s="4" t="str">
        <f t="shared" si="0"/>
        <v>u</v>
      </c>
      <c r="G9" s="4" t="str">
        <f t="shared" si="1"/>
        <v>i</v>
      </c>
      <c r="H9" s="4" t="str">
        <f t="shared" si="2"/>
        <v/>
      </c>
      <c r="I9" s="6" t="s">
        <v>81</v>
      </c>
      <c r="J9" s="6">
        <v>0</v>
      </c>
      <c r="K9" s="6">
        <v>0</v>
      </c>
      <c r="L9" s="6">
        <v>1</v>
      </c>
      <c r="M9" s="6">
        <v>1</v>
      </c>
      <c r="N9" s="10">
        <v>0</v>
      </c>
      <c r="O9" s="10">
        <v>0</v>
      </c>
      <c r="P9" s="10">
        <v>0</v>
      </c>
      <c r="Q9" s="12">
        <v>0</v>
      </c>
      <c r="R9" s="12">
        <v>0</v>
      </c>
      <c r="S9" s="12">
        <v>0</v>
      </c>
      <c r="T9" s="12">
        <v>0</v>
      </c>
    </row>
    <row r="10" spans="1:20" x14ac:dyDescent="0.25">
      <c r="A10" s="3" t="s">
        <v>14</v>
      </c>
      <c r="B10" s="5" t="s">
        <v>52</v>
      </c>
      <c r="C10" s="5" t="s">
        <v>46</v>
      </c>
      <c r="D10" s="6">
        <v>1</v>
      </c>
      <c r="E10" s="4" t="str">
        <f t="shared" si="3"/>
        <v>a</v>
      </c>
      <c r="F10" s="4" t="str">
        <f t="shared" si="0"/>
        <v>d</v>
      </c>
      <c r="G10" s="4" t="str">
        <f t="shared" si="1"/>
        <v>d</v>
      </c>
      <c r="H10" s="4" t="str">
        <f t="shared" si="2"/>
        <v/>
      </c>
      <c r="I10" s="6" t="s">
        <v>8</v>
      </c>
      <c r="J10" s="6">
        <v>1</v>
      </c>
      <c r="K10" s="6">
        <v>0</v>
      </c>
      <c r="L10" s="6">
        <v>1</v>
      </c>
      <c r="M10" s="6">
        <v>1</v>
      </c>
      <c r="N10" s="10">
        <v>0</v>
      </c>
      <c r="O10" s="10">
        <v>0</v>
      </c>
      <c r="P10" s="10">
        <v>0</v>
      </c>
      <c r="Q10" s="1">
        <v>1</v>
      </c>
      <c r="R10" s="12">
        <v>0</v>
      </c>
      <c r="S10" s="12">
        <v>0</v>
      </c>
      <c r="T10" s="12">
        <v>0</v>
      </c>
    </row>
    <row r="11" spans="1:20" x14ac:dyDescent="0.25">
      <c r="A11" s="3" t="s">
        <v>15</v>
      </c>
      <c r="B11" s="5" t="s">
        <v>47</v>
      </c>
      <c r="C11" s="5" t="s">
        <v>64</v>
      </c>
      <c r="D11" s="6">
        <v>0</v>
      </c>
      <c r="E11" s="4" t="str">
        <f t="shared" si="3"/>
        <v>n</v>
      </c>
      <c r="F11" s="4" t="str">
        <f t="shared" si="0"/>
        <v>o</v>
      </c>
      <c r="G11" s="4" t="str">
        <f t="shared" si="1"/>
        <v>r</v>
      </c>
      <c r="H11" s="4" t="str">
        <f t="shared" si="2"/>
        <v/>
      </c>
      <c r="I11" s="6" t="s">
        <v>41</v>
      </c>
      <c r="J11" s="6">
        <v>0</v>
      </c>
      <c r="K11" s="6">
        <v>0</v>
      </c>
      <c r="L11" s="6">
        <v>1</v>
      </c>
      <c r="M11" s="6">
        <v>0</v>
      </c>
      <c r="N11" s="10">
        <v>0</v>
      </c>
      <c r="O11" s="10">
        <v>0</v>
      </c>
      <c r="P11" s="10">
        <v>0</v>
      </c>
      <c r="Q11" s="12">
        <v>0</v>
      </c>
      <c r="R11" s="12">
        <v>0</v>
      </c>
      <c r="S11" s="12">
        <v>0</v>
      </c>
      <c r="T11" s="12">
        <v>0</v>
      </c>
    </row>
    <row r="12" spans="1:20" x14ac:dyDescent="0.25">
      <c r="A12" s="3" t="s">
        <v>16</v>
      </c>
      <c r="B12" s="5" t="s">
        <v>47</v>
      </c>
      <c r="C12" s="5" t="s">
        <v>65</v>
      </c>
      <c r="D12" s="6">
        <v>0</v>
      </c>
      <c r="E12" s="4" t="str">
        <f t="shared" si="3"/>
        <v>x</v>
      </c>
      <c r="F12" s="4" t="str">
        <f t="shared" si="0"/>
        <v>o</v>
      </c>
      <c r="G12" s="4" t="str">
        <f t="shared" si="1"/>
        <v>r</v>
      </c>
      <c r="H12" s="4" t="str">
        <f t="shared" si="2"/>
        <v/>
      </c>
      <c r="I12" s="6" t="s">
        <v>40</v>
      </c>
      <c r="J12" s="6">
        <v>0</v>
      </c>
      <c r="K12" s="6">
        <v>0</v>
      </c>
      <c r="L12" s="6">
        <v>1</v>
      </c>
      <c r="M12" s="6">
        <v>0</v>
      </c>
      <c r="N12" s="10">
        <v>0</v>
      </c>
      <c r="O12" s="10">
        <v>0</v>
      </c>
      <c r="P12" s="10">
        <v>0</v>
      </c>
      <c r="Q12" s="12">
        <v>0</v>
      </c>
      <c r="R12" s="12">
        <v>0</v>
      </c>
      <c r="S12" s="12">
        <v>0</v>
      </c>
      <c r="T12" s="12">
        <v>0</v>
      </c>
    </row>
    <row r="13" spans="1:20" x14ac:dyDescent="0.25">
      <c r="A13" s="3" t="s">
        <v>17</v>
      </c>
      <c r="B13" s="5" t="s">
        <v>53</v>
      </c>
      <c r="C13" s="5" t="s">
        <v>46</v>
      </c>
      <c r="D13" s="6">
        <v>1</v>
      </c>
      <c r="E13" s="4" t="str">
        <f t="shared" si="3"/>
        <v>x</v>
      </c>
      <c r="F13" s="4" t="str">
        <f t="shared" si="0"/>
        <v>o</v>
      </c>
      <c r="G13" s="4" t="str">
        <f t="shared" si="1"/>
        <v>r</v>
      </c>
      <c r="H13" s="4" t="str">
        <f t="shared" si="2"/>
        <v/>
      </c>
      <c r="I13" s="6" t="s">
        <v>40</v>
      </c>
      <c r="J13" s="6">
        <v>0</v>
      </c>
      <c r="K13" s="6">
        <v>0</v>
      </c>
      <c r="L13" s="6">
        <v>1</v>
      </c>
      <c r="M13" s="6">
        <v>1</v>
      </c>
      <c r="N13" s="10">
        <v>0</v>
      </c>
      <c r="O13" s="10">
        <v>0</v>
      </c>
      <c r="P13" s="10">
        <v>0</v>
      </c>
      <c r="Q13" s="12">
        <v>0</v>
      </c>
      <c r="R13" s="12">
        <v>0</v>
      </c>
      <c r="S13" s="12">
        <v>0</v>
      </c>
      <c r="T13" s="12">
        <v>0</v>
      </c>
    </row>
    <row r="14" spans="1:20" x14ac:dyDescent="0.25">
      <c r="A14" s="3" t="s">
        <v>18</v>
      </c>
      <c r="B14" s="5" t="s">
        <v>47</v>
      </c>
      <c r="C14" s="5" t="s">
        <v>66</v>
      </c>
      <c r="D14" s="6">
        <v>0</v>
      </c>
      <c r="E14" s="4" t="str">
        <f t="shared" si="3"/>
        <v>o</v>
      </c>
      <c r="F14" s="4" t="str">
        <f t="shared" si="0"/>
        <v>r</v>
      </c>
      <c r="G14" s="4" t="str">
        <f t="shared" si="1"/>
        <v/>
      </c>
      <c r="H14" s="4" t="str">
        <f t="shared" si="2"/>
        <v/>
      </c>
      <c r="I14" s="6" t="s">
        <v>39</v>
      </c>
      <c r="J14" s="6">
        <v>0</v>
      </c>
      <c r="K14" s="6">
        <v>0</v>
      </c>
      <c r="L14" s="6">
        <v>1</v>
      </c>
      <c r="M14" s="6">
        <v>0</v>
      </c>
      <c r="N14" s="10">
        <v>0</v>
      </c>
      <c r="O14" s="10">
        <v>0</v>
      </c>
      <c r="P14" s="10">
        <v>0</v>
      </c>
      <c r="Q14" s="12">
        <v>0</v>
      </c>
      <c r="R14" s="12">
        <v>0</v>
      </c>
      <c r="S14" s="12">
        <v>0</v>
      </c>
      <c r="T14" s="12">
        <v>0</v>
      </c>
    </row>
    <row r="15" spans="1:20" x14ac:dyDescent="0.25">
      <c r="A15" s="3" t="s">
        <v>19</v>
      </c>
      <c r="B15" s="5" t="s">
        <v>54</v>
      </c>
      <c r="C15" s="5" t="s">
        <v>46</v>
      </c>
      <c r="D15" s="6">
        <v>1</v>
      </c>
      <c r="E15" s="4" t="str">
        <f t="shared" si="3"/>
        <v>o</v>
      </c>
      <c r="F15" s="4" t="str">
        <f t="shared" si="0"/>
        <v>r</v>
      </c>
      <c r="G15" s="4" t="str">
        <f t="shared" si="1"/>
        <v/>
      </c>
      <c r="H15" s="4" t="str">
        <f t="shared" si="2"/>
        <v/>
      </c>
      <c r="I15" s="6" t="s">
        <v>39</v>
      </c>
      <c r="J15" s="6">
        <v>0</v>
      </c>
      <c r="K15" s="6">
        <v>0</v>
      </c>
      <c r="L15" s="6">
        <v>1</v>
      </c>
      <c r="M15" s="6">
        <v>1</v>
      </c>
      <c r="N15" s="10">
        <v>0</v>
      </c>
      <c r="O15" s="10">
        <v>0</v>
      </c>
      <c r="P15" s="10">
        <v>0</v>
      </c>
      <c r="Q15" s="12">
        <v>0</v>
      </c>
      <c r="R15" s="12">
        <v>0</v>
      </c>
      <c r="S15" s="12">
        <v>0</v>
      </c>
      <c r="T15" s="12">
        <v>0</v>
      </c>
    </row>
    <row r="16" spans="1:20" x14ac:dyDescent="0.25">
      <c r="A16" s="3" t="s">
        <v>20</v>
      </c>
      <c r="B16" s="5" t="s">
        <v>47</v>
      </c>
      <c r="C16" s="5" t="s">
        <v>67</v>
      </c>
      <c r="D16" s="6">
        <v>0</v>
      </c>
      <c r="E16" s="4" t="str">
        <f t="shared" si="3"/>
        <v>s</v>
      </c>
      <c r="F16" s="4" t="str">
        <f t="shared" si="0"/>
        <v>l</v>
      </c>
      <c r="G16" s="4" t="str">
        <f t="shared" si="1"/>
        <v>t</v>
      </c>
      <c r="H16" s="4" t="str">
        <f t="shared" si="2"/>
        <v/>
      </c>
      <c r="I16" s="6" t="s">
        <v>42</v>
      </c>
      <c r="J16" s="6">
        <v>0</v>
      </c>
      <c r="K16" s="6">
        <v>0</v>
      </c>
      <c r="L16" s="6">
        <v>1</v>
      </c>
      <c r="M16" s="6">
        <v>0</v>
      </c>
      <c r="N16" s="10">
        <v>0</v>
      </c>
      <c r="O16" s="10">
        <v>0</v>
      </c>
      <c r="P16" s="10">
        <v>0</v>
      </c>
      <c r="Q16" s="12">
        <v>0</v>
      </c>
      <c r="R16" s="12">
        <v>0</v>
      </c>
      <c r="S16" s="12">
        <v>0</v>
      </c>
      <c r="T16" s="12">
        <v>0</v>
      </c>
    </row>
    <row r="17" spans="1:20" x14ac:dyDescent="0.25">
      <c r="A17" s="3" t="s">
        <v>21</v>
      </c>
      <c r="B17" s="5" t="s">
        <v>55</v>
      </c>
      <c r="C17" s="5" t="s">
        <v>46</v>
      </c>
      <c r="D17" s="6">
        <v>1</v>
      </c>
      <c r="E17" s="4" t="str">
        <f t="shared" si="3"/>
        <v>s</v>
      </c>
      <c r="F17" s="4" t="str">
        <f t="shared" si="0"/>
        <v>l</v>
      </c>
      <c r="G17" s="4" t="str">
        <f t="shared" si="1"/>
        <v>t</v>
      </c>
      <c r="H17" s="4" t="str">
        <f t="shared" si="2"/>
        <v/>
      </c>
      <c r="I17" s="6" t="s">
        <v>42</v>
      </c>
      <c r="J17" s="6">
        <v>0</v>
      </c>
      <c r="K17" s="6">
        <v>0</v>
      </c>
      <c r="L17" s="6">
        <v>1</v>
      </c>
      <c r="M17" s="6">
        <v>1</v>
      </c>
      <c r="N17" s="10">
        <v>0</v>
      </c>
      <c r="O17" s="10">
        <v>0</v>
      </c>
      <c r="P17" s="10">
        <v>0</v>
      </c>
      <c r="Q17" s="1">
        <v>1</v>
      </c>
      <c r="R17" s="12">
        <v>0</v>
      </c>
      <c r="S17" s="12">
        <v>0</v>
      </c>
      <c r="T17" s="12">
        <v>0</v>
      </c>
    </row>
    <row r="18" spans="1:20" s="12" customFormat="1" x14ac:dyDescent="0.25">
      <c r="A18" s="12" t="s">
        <v>83</v>
      </c>
      <c r="B18" s="11" t="s">
        <v>55</v>
      </c>
      <c r="C18" s="11" t="s">
        <v>46</v>
      </c>
      <c r="D18" s="10">
        <v>1</v>
      </c>
      <c r="E18" s="12" t="str">
        <f t="shared" si="3"/>
        <v>s</v>
      </c>
      <c r="F18" s="12" t="str">
        <f t="shared" si="0"/>
        <v>l</v>
      </c>
      <c r="G18" s="12" t="str">
        <f t="shared" si="1"/>
        <v>t</v>
      </c>
      <c r="H18" s="12" t="str">
        <f t="shared" si="2"/>
        <v/>
      </c>
      <c r="I18" s="10" t="s">
        <v>42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2">
        <v>1</v>
      </c>
      <c r="R18" s="12">
        <v>0</v>
      </c>
      <c r="S18" s="12">
        <v>0</v>
      </c>
      <c r="T18" s="12">
        <v>0</v>
      </c>
    </row>
    <row r="19" spans="1:20" x14ac:dyDescent="0.25">
      <c r="A19" s="3" t="s">
        <v>22</v>
      </c>
      <c r="B19" s="5" t="s">
        <v>47</v>
      </c>
      <c r="C19" s="5" t="s">
        <v>47</v>
      </c>
      <c r="D19" s="6">
        <v>0</v>
      </c>
      <c r="E19" s="4" t="str">
        <f t="shared" si="3"/>
        <v>s</v>
      </c>
      <c r="F19" s="4" t="str">
        <f t="shared" si="0"/>
        <v>l</v>
      </c>
      <c r="G19" s="4" t="str">
        <f t="shared" si="1"/>
        <v>l</v>
      </c>
      <c r="H19" s="4" t="str">
        <f t="shared" si="2"/>
        <v/>
      </c>
      <c r="I19" s="6" t="s">
        <v>43</v>
      </c>
      <c r="J19" s="6">
        <v>0</v>
      </c>
      <c r="K19" s="6">
        <v>0</v>
      </c>
      <c r="L19" s="6">
        <v>1</v>
      </c>
      <c r="M19" s="6">
        <v>0</v>
      </c>
      <c r="N19" s="10">
        <v>0</v>
      </c>
      <c r="O19" s="10">
        <v>0</v>
      </c>
      <c r="P19" s="10">
        <v>0</v>
      </c>
      <c r="Q19" s="12">
        <v>0</v>
      </c>
      <c r="R19" s="12">
        <v>0</v>
      </c>
      <c r="S19" s="12">
        <v>0</v>
      </c>
      <c r="T19" s="12">
        <v>0</v>
      </c>
    </row>
    <row r="20" spans="1:20" x14ac:dyDescent="0.25">
      <c r="A20" s="3" t="s">
        <v>23</v>
      </c>
      <c r="B20" s="5" t="s">
        <v>47</v>
      </c>
      <c r="C20" s="5" t="s">
        <v>59</v>
      </c>
      <c r="D20" s="6">
        <v>0</v>
      </c>
      <c r="E20" s="4" t="str">
        <f t="shared" si="3"/>
        <v>s</v>
      </c>
      <c r="F20" s="4" t="str">
        <f t="shared" si="0"/>
        <v>r</v>
      </c>
      <c r="G20" s="4" t="str">
        <f t="shared" si="1"/>
        <v>l</v>
      </c>
      <c r="H20" s="4" t="str">
        <f t="shared" si="2"/>
        <v/>
      </c>
      <c r="I20" s="6" t="s">
        <v>44</v>
      </c>
      <c r="J20" s="6">
        <v>0</v>
      </c>
      <c r="K20" s="6">
        <v>0</v>
      </c>
      <c r="L20" s="6">
        <v>1</v>
      </c>
      <c r="M20" s="6">
        <v>0</v>
      </c>
      <c r="N20" s="10">
        <v>0</v>
      </c>
      <c r="O20" s="10">
        <v>0</v>
      </c>
      <c r="P20" s="10">
        <v>0</v>
      </c>
      <c r="Q20" s="12">
        <v>0</v>
      </c>
      <c r="R20" s="12">
        <v>0</v>
      </c>
      <c r="S20" s="12">
        <v>0</v>
      </c>
      <c r="T20" s="12">
        <v>0</v>
      </c>
    </row>
    <row r="21" spans="1:20" x14ac:dyDescent="0.25">
      <c r="A21" s="3" t="s">
        <v>24</v>
      </c>
      <c r="B21" s="5" t="s">
        <v>47</v>
      </c>
      <c r="C21" s="5" t="s">
        <v>60</v>
      </c>
      <c r="D21" s="6">
        <v>0</v>
      </c>
      <c r="E21" s="4" t="str">
        <f t="shared" si="3"/>
        <v>s</v>
      </c>
      <c r="F21" s="4" t="str">
        <f t="shared" si="0"/>
        <v>r</v>
      </c>
      <c r="G21" s="4" t="str">
        <f t="shared" si="1"/>
        <v>a</v>
      </c>
      <c r="H21" s="4" t="str">
        <f t="shared" si="2"/>
        <v/>
      </c>
      <c r="I21" s="6" t="s">
        <v>45</v>
      </c>
      <c r="J21" s="6">
        <v>0</v>
      </c>
      <c r="K21" s="6">
        <v>0</v>
      </c>
      <c r="L21" s="6">
        <v>1</v>
      </c>
      <c r="M21" s="6">
        <v>0</v>
      </c>
      <c r="N21" s="10">
        <v>0</v>
      </c>
      <c r="O21" s="10">
        <v>0</v>
      </c>
      <c r="P21" s="10">
        <v>0</v>
      </c>
      <c r="Q21" s="12">
        <v>0</v>
      </c>
      <c r="R21" s="12">
        <v>0</v>
      </c>
      <c r="S21" s="12">
        <v>0</v>
      </c>
      <c r="T21" s="12">
        <v>0</v>
      </c>
    </row>
    <row r="22" spans="1:20" x14ac:dyDescent="0.25">
      <c r="A22" s="3" t="s">
        <v>25</v>
      </c>
      <c r="B22" s="5" t="s">
        <v>56</v>
      </c>
      <c r="C22" s="5" t="s">
        <v>46</v>
      </c>
      <c r="D22" s="6">
        <v>1</v>
      </c>
      <c r="E22" s="4" t="str">
        <f t="shared" si="3"/>
        <v>a</v>
      </c>
      <c r="F22" s="4" t="str">
        <f t="shared" si="0"/>
        <v>d</v>
      </c>
      <c r="G22" s="4" t="str">
        <f t="shared" si="1"/>
        <v>d</v>
      </c>
      <c r="H22" s="4" t="str">
        <f t="shared" si="2"/>
        <v/>
      </c>
      <c r="I22" s="6" t="s">
        <v>8</v>
      </c>
      <c r="J22" s="6" t="s">
        <v>36</v>
      </c>
      <c r="K22" s="6">
        <v>1</v>
      </c>
      <c r="L22" s="6">
        <v>0</v>
      </c>
      <c r="M22" s="6" t="s">
        <v>36</v>
      </c>
      <c r="N22" s="10">
        <v>0</v>
      </c>
      <c r="O22" s="10">
        <v>0</v>
      </c>
      <c r="P22" s="10">
        <v>0</v>
      </c>
      <c r="Q22" s="1">
        <v>1</v>
      </c>
      <c r="R22" s="12">
        <v>0</v>
      </c>
      <c r="S22" s="12">
        <v>0</v>
      </c>
      <c r="T22" s="12">
        <v>0</v>
      </c>
    </row>
    <row r="23" spans="1:20" x14ac:dyDescent="0.25">
      <c r="A23" s="3" t="s">
        <v>26</v>
      </c>
      <c r="B23" s="5" t="s">
        <v>47</v>
      </c>
      <c r="C23" s="5" t="s">
        <v>68</v>
      </c>
      <c r="D23" s="6">
        <v>0</v>
      </c>
      <c r="E23" s="4" t="str">
        <f t="shared" si="3"/>
        <v>s</v>
      </c>
      <c r="F23" s="4" t="str">
        <f t="shared" si="0"/>
        <v>u</v>
      </c>
      <c r="G23" s="4" t="str">
        <f t="shared" si="1"/>
        <v>b</v>
      </c>
      <c r="H23" s="4" t="str">
        <f t="shared" si="2"/>
        <v/>
      </c>
      <c r="I23" s="6" t="s">
        <v>37</v>
      </c>
      <c r="J23" s="6">
        <v>0</v>
      </c>
      <c r="K23" s="6">
        <v>0</v>
      </c>
      <c r="L23" s="6">
        <v>1</v>
      </c>
      <c r="M23" s="6">
        <v>0</v>
      </c>
      <c r="N23" s="10">
        <v>0</v>
      </c>
      <c r="O23" s="10">
        <v>0</v>
      </c>
      <c r="P23" s="10">
        <v>0</v>
      </c>
      <c r="Q23" s="12">
        <v>0</v>
      </c>
      <c r="R23" s="12">
        <v>0</v>
      </c>
      <c r="S23" s="12">
        <v>0</v>
      </c>
      <c r="T23" s="12">
        <v>0</v>
      </c>
    </row>
    <row r="24" spans="1:20" x14ac:dyDescent="0.25">
      <c r="A24" s="3" t="s">
        <v>27</v>
      </c>
      <c r="B24" s="5" t="s">
        <v>47</v>
      </c>
      <c r="C24" s="5" t="s">
        <v>52</v>
      </c>
      <c r="D24" s="6">
        <v>0</v>
      </c>
      <c r="E24" s="4" t="str">
        <f t="shared" si="3"/>
        <v>s</v>
      </c>
      <c r="F24" s="4" t="str">
        <f t="shared" si="0"/>
        <v>u</v>
      </c>
      <c r="G24" s="4" t="str">
        <f t="shared" si="1"/>
        <v>b</v>
      </c>
      <c r="H24" s="4" t="str">
        <f t="shared" si="2"/>
        <v/>
      </c>
      <c r="I24" s="6" t="s">
        <v>37</v>
      </c>
      <c r="J24" s="6">
        <v>0</v>
      </c>
      <c r="K24" s="6">
        <v>0</v>
      </c>
      <c r="L24" s="6">
        <v>1</v>
      </c>
      <c r="M24" s="6">
        <v>0</v>
      </c>
      <c r="N24" s="10">
        <v>0</v>
      </c>
      <c r="O24" s="10">
        <v>0</v>
      </c>
      <c r="P24" s="10">
        <v>0</v>
      </c>
      <c r="Q24" s="12">
        <v>0</v>
      </c>
      <c r="R24" s="12">
        <v>0</v>
      </c>
      <c r="S24" s="12">
        <v>0</v>
      </c>
      <c r="T24" s="12">
        <v>0</v>
      </c>
    </row>
    <row r="25" spans="1:20" x14ac:dyDescent="0.25">
      <c r="A25" s="3" t="s">
        <v>28</v>
      </c>
      <c r="B25" s="5" t="s">
        <v>57</v>
      </c>
      <c r="C25" s="5" t="s">
        <v>46</v>
      </c>
      <c r="D25" s="6" t="s">
        <v>36</v>
      </c>
      <c r="E25" s="4" t="str">
        <f t="shared" si="3"/>
        <v>s</v>
      </c>
      <c r="F25" s="4" t="str">
        <f t="shared" si="0"/>
        <v>u</v>
      </c>
      <c r="G25" s="4" t="str">
        <f t="shared" si="1"/>
        <v>b</v>
      </c>
      <c r="H25" s="4" t="str">
        <f t="shared" si="2"/>
        <v/>
      </c>
      <c r="I25" s="6" t="s">
        <v>37</v>
      </c>
      <c r="J25" s="6" t="s">
        <v>36</v>
      </c>
      <c r="K25" s="6">
        <v>0</v>
      </c>
      <c r="L25" s="6">
        <v>0</v>
      </c>
      <c r="M25" s="6" t="s">
        <v>36</v>
      </c>
      <c r="N25" s="10">
        <v>0</v>
      </c>
      <c r="O25" s="1">
        <v>1</v>
      </c>
      <c r="P25" s="10">
        <v>0</v>
      </c>
      <c r="Q25" s="1">
        <v>1</v>
      </c>
      <c r="R25" s="12">
        <v>0</v>
      </c>
      <c r="S25" s="12">
        <v>0</v>
      </c>
      <c r="T25" s="12">
        <v>0</v>
      </c>
    </row>
    <row r="26" spans="1:20" x14ac:dyDescent="0.25">
      <c r="A26" s="3" t="s">
        <v>29</v>
      </c>
      <c r="B26" s="5" t="s">
        <v>58</v>
      </c>
      <c r="C26" s="5" t="s">
        <v>46</v>
      </c>
      <c r="D26" s="6" t="s">
        <v>36</v>
      </c>
      <c r="E26" s="4" t="str">
        <f t="shared" si="3"/>
        <v>s</v>
      </c>
      <c r="F26" s="4" t="str">
        <f t="shared" si="0"/>
        <v>u</v>
      </c>
      <c r="G26" s="4" t="str">
        <f t="shared" si="1"/>
        <v>b</v>
      </c>
      <c r="H26" s="4" t="str">
        <f t="shared" si="2"/>
        <v/>
      </c>
      <c r="I26" s="6" t="s">
        <v>37</v>
      </c>
      <c r="J26" s="6" t="s">
        <v>36</v>
      </c>
      <c r="K26" s="6">
        <v>0</v>
      </c>
      <c r="L26" s="6">
        <v>0</v>
      </c>
      <c r="M26" s="6" t="s">
        <v>36</v>
      </c>
      <c r="N26" s="10">
        <v>0</v>
      </c>
      <c r="O26" s="1">
        <v>1</v>
      </c>
      <c r="P26" s="10">
        <v>0</v>
      </c>
      <c r="Q26" s="1">
        <v>1</v>
      </c>
      <c r="R26" s="12">
        <v>0</v>
      </c>
      <c r="S26" s="1">
        <v>1</v>
      </c>
      <c r="T26" s="12">
        <v>0</v>
      </c>
    </row>
    <row r="27" spans="1:20" x14ac:dyDescent="0.25">
      <c r="A27" s="3" t="s">
        <v>30</v>
      </c>
      <c r="B27" s="5" t="s">
        <v>59</v>
      </c>
      <c r="C27" s="5" t="s">
        <v>46</v>
      </c>
      <c r="D27" s="6" t="s">
        <v>36</v>
      </c>
      <c r="E27" s="4" t="str">
        <f t="shared" si="3"/>
        <v>X</v>
      </c>
      <c r="F27" s="4" t="str">
        <f t="shared" si="0"/>
        <v/>
      </c>
      <c r="G27" s="4" t="str">
        <f t="shared" si="1"/>
        <v/>
      </c>
      <c r="H27" s="4" t="str">
        <f t="shared" si="2"/>
        <v/>
      </c>
      <c r="I27" s="6" t="s">
        <v>36</v>
      </c>
      <c r="J27" s="6" t="s">
        <v>36</v>
      </c>
      <c r="K27" s="6">
        <v>0</v>
      </c>
      <c r="L27" s="6">
        <v>0</v>
      </c>
      <c r="M27" s="6" t="s">
        <v>36</v>
      </c>
      <c r="N27" s="9">
        <v>1</v>
      </c>
      <c r="O27" s="10">
        <v>0</v>
      </c>
      <c r="P27" s="10">
        <v>0</v>
      </c>
      <c r="Q27" s="12">
        <v>0</v>
      </c>
      <c r="R27" s="12">
        <v>0</v>
      </c>
      <c r="S27" s="12">
        <v>0</v>
      </c>
      <c r="T27" s="12">
        <v>0</v>
      </c>
    </row>
    <row r="28" spans="1:20" s="13" customFormat="1" x14ac:dyDescent="0.25">
      <c r="A28" s="13" t="s">
        <v>31</v>
      </c>
      <c r="B28" s="14" t="s">
        <v>60</v>
      </c>
      <c r="C28" s="14" t="s">
        <v>46</v>
      </c>
      <c r="D28" s="15" t="s">
        <v>36</v>
      </c>
      <c r="E28" s="13" t="str">
        <f t="shared" si="3"/>
        <v>X</v>
      </c>
      <c r="F28" s="13" t="str">
        <f t="shared" si="0"/>
        <v/>
      </c>
      <c r="G28" s="13" t="str">
        <f t="shared" si="1"/>
        <v/>
      </c>
      <c r="H28" s="13" t="str">
        <f t="shared" si="2"/>
        <v/>
      </c>
      <c r="I28" s="15" t="s">
        <v>36</v>
      </c>
      <c r="J28" s="15" t="s">
        <v>36</v>
      </c>
      <c r="K28" s="15">
        <v>0</v>
      </c>
      <c r="L28" s="15">
        <v>0</v>
      </c>
      <c r="M28" s="15" t="s">
        <v>36</v>
      </c>
      <c r="N28" s="9">
        <v>1</v>
      </c>
      <c r="O28" s="10">
        <v>0</v>
      </c>
      <c r="P28" s="10">
        <v>0</v>
      </c>
      <c r="Q28" s="12">
        <v>0</v>
      </c>
      <c r="R28" s="13">
        <v>1</v>
      </c>
      <c r="S28" s="12">
        <v>0</v>
      </c>
      <c r="T28" s="12">
        <v>0</v>
      </c>
    </row>
    <row r="29" spans="1:20" s="13" customFormat="1" x14ac:dyDescent="0.25">
      <c r="A29" s="13" t="s">
        <v>32</v>
      </c>
      <c r="B29" s="14" t="s">
        <v>47</v>
      </c>
      <c r="C29" s="14" t="s">
        <v>48</v>
      </c>
      <c r="D29" s="15" t="s">
        <v>36</v>
      </c>
      <c r="E29" s="13" t="str">
        <f t="shared" si="3"/>
        <v>X</v>
      </c>
      <c r="F29" s="13" t="str">
        <f t="shared" si="0"/>
        <v/>
      </c>
      <c r="G29" s="13" t="str">
        <f t="shared" si="1"/>
        <v/>
      </c>
      <c r="H29" s="13" t="str">
        <f t="shared" si="2"/>
        <v/>
      </c>
      <c r="I29" s="15" t="s">
        <v>36</v>
      </c>
      <c r="J29" s="15" t="s">
        <v>36</v>
      </c>
      <c r="K29" s="15">
        <v>0</v>
      </c>
      <c r="L29" s="15">
        <v>0</v>
      </c>
      <c r="M29" s="15" t="s">
        <v>36</v>
      </c>
      <c r="N29" s="9">
        <v>0</v>
      </c>
      <c r="O29" s="10">
        <v>0</v>
      </c>
      <c r="P29" s="13">
        <v>1</v>
      </c>
      <c r="Q29" s="12">
        <v>0</v>
      </c>
      <c r="R29" s="12">
        <v>0</v>
      </c>
      <c r="S29" s="12">
        <v>0</v>
      </c>
      <c r="T29" s="12">
        <v>0</v>
      </c>
    </row>
    <row r="30" spans="1:20" s="13" customFormat="1" x14ac:dyDescent="0.25">
      <c r="A30" s="13" t="s">
        <v>33</v>
      </c>
      <c r="B30" s="14" t="s">
        <v>47</v>
      </c>
      <c r="C30" s="14" t="s">
        <v>73</v>
      </c>
      <c r="D30" s="15" t="s">
        <v>36</v>
      </c>
      <c r="E30" s="13" t="str">
        <f t="shared" si="3"/>
        <v>r</v>
      </c>
      <c r="F30" s="13" t="str">
        <f t="shared" si="0"/>
        <v>e</v>
      </c>
      <c r="G30" s="13" t="str">
        <f t="shared" si="1"/>
        <v>p</v>
      </c>
      <c r="H30" s="13" t="str">
        <f t="shared" si="2"/>
        <v>l</v>
      </c>
      <c r="I30" s="15" t="s">
        <v>82</v>
      </c>
      <c r="J30" s="15">
        <v>0</v>
      </c>
      <c r="K30" s="15">
        <v>0</v>
      </c>
      <c r="L30" s="15">
        <v>0</v>
      </c>
      <c r="M30" s="15">
        <v>0</v>
      </c>
      <c r="N30" s="9">
        <v>0</v>
      </c>
      <c r="O30" s="10">
        <v>0</v>
      </c>
      <c r="P30" s="10">
        <v>0</v>
      </c>
      <c r="Q30" s="12">
        <v>0</v>
      </c>
      <c r="R30" s="12">
        <v>0</v>
      </c>
      <c r="S30" s="12">
        <v>0</v>
      </c>
      <c r="T30" s="12">
        <v>0</v>
      </c>
    </row>
    <row r="31" spans="1:20" s="13" customFormat="1" x14ac:dyDescent="0.25">
      <c r="A31" s="13" t="s">
        <v>75</v>
      </c>
      <c r="B31" s="14" t="s">
        <v>84</v>
      </c>
      <c r="C31" s="14" t="s">
        <v>46</v>
      </c>
      <c r="D31" s="14" t="s">
        <v>36</v>
      </c>
      <c r="E31" s="14" t="str">
        <f t="shared" si="3"/>
        <v>X</v>
      </c>
      <c r="F31" s="14" t="str">
        <f t="shared" si="0"/>
        <v/>
      </c>
      <c r="G31" s="14" t="str">
        <f t="shared" si="1"/>
        <v/>
      </c>
      <c r="H31" s="14" t="str">
        <f t="shared" si="2"/>
        <v/>
      </c>
      <c r="I31" s="14" t="s">
        <v>36</v>
      </c>
      <c r="J31" s="15" t="s">
        <v>36</v>
      </c>
      <c r="K31" s="15">
        <v>0</v>
      </c>
      <c r="L31" s="15">
        <v>0</v>
      </c>
      <c r="M31" s="15" t="s">
        <v>36</v>
      </c>
      <c r="N31" s="12" t="s">
        <v>36</v>
      </c>
      <c r="O31" s="12" t="s">
        <v>36</v>
      </c>
      <c r="P31" s="12" t="s">
        <v>36</v>
      </c>
      <c r="Q31" s="12" t="s">
        <v>36</v>
      </c>
      <c r="R31" s="12" t="s">
        <v>36</v>
      </c>
      <c r="S31" s="12" t="s">
        <v>36</v>
      </c>
      <c r="T31" s="13">
        <v>1</v>
      </c>
    </row>
  </sheetData>
  <autoFilter ref="A1:M30" xr:uid="{5FC2FCD1-6A91-3E43-87BE-182EA48A4800}"/>
  <mergeCells count="20">
    <mergeCell ref="M1:M2"/>
    <mergeCell ref="K1:K2"/>
    <mergeCell ref="L1:L2"/>
    <mergeCell ref="D1:D2"/>
    <mergeCell ref="I1:I2"/>
    <mergeCell ref="J1:J2"/>
    <mergeCell ref="A1:A2"/>
    <mergeCell ref="B1:B2"/>
    <mergeCell ref="C1:C2"/>
    <mergeCell ref="E1:E2"/>
    <mergeCell ref="F1:F2"/>
    <mergeCell ref="G1:G2"/>
    <mergeCell ref="H1:H2"/>
    <mergeCell ref="S1:S2"/>
    <mergeCell ref="T1:T2"/>
    <mergeCell ref="O1:O2"/>
    <mergeCell ref="P1:P2"/>
    <mergeCell ref="N1:N2"/>
    <mergeCell ref="Q1:Q2"/>
    <mergeCell ref="R1:R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Duwe, Henry J [E CPE]</dc:creator>
  <cp:lastModifiedBy>Jordan</cp:lastModifiedBy>
  <dcterms:created xsi:type="dcterms:W3CDTF">2019-02-19T16:35:40Z</dcterms:created>
  <dcterms:modified xsi:type="dcterms:W3CDTF">2021-11-08T01:45:16Z</dcterms:modified>
</cp:coreProperties>
</file>